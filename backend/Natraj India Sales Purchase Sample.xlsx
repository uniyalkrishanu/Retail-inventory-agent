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355" yWindow="-165" windowWidth="8040" windowHeight="9495"/>
  </bookViews>
  <sheets>
    <sheet name="Ocober 2025 Purchase" sheetId="140" r:id="rId1"/>
    <sheet name="OCTOBER 2025 Sale" sheetId="137" r:id="rId2"/>
  </sheets>
  <definedNames>
    <definedName name="_xlnm._FilterDatabase" localSheetId="1" hidden="1">'OCTOBER 2025 Sale'!$A$2:$R$26</definedName>
  </definedNames>
  <calcPr calcId="144525"/>
</workbook>
</file>

<file path=xl/calcChain.xml><?xml version="1.0" encoding="utf-8"?>
<calcChain xmlns="http://schemas.openxmlformats.org/spreadsheetml/2006/main">
  <c r="Q12" i="140" l="1"/>
  <c r="G18" i="140"/>
  <c r="G17" i="140"/>
  <c r="I5" i="140"/>
  <c r="I9" i="140"/>
  <c r="G19" i="140"/>
  <c r="I10" i="140" l="1"/>
  <c r="M10" i="140" s="1"/>
  <c r="M9" i="140"/>
  <c r="I8" i="140"/>
  <c r="O8" i="140" s="1"/>
  <c r="P8" i="140" s="1"/>
  <c r="Q8" i="140" s="1"/>
  <c r="I7" i="140"/>
  <c r="O7" i="140" s="1"/>
  <c r="P7" i="140" s="1"/>
  <c r="I6" i="140"/>
  <c r="O6" i="140" s="1"/>
  <c r="P6" i="140" s="1"/>
  <c r="K10" i="140" l="1"/>
  <c r="P10" i="140" s="1"/>
  <c r="Q10" i="140" s="1"/>
  <c r="K9" i="140"/>
  <c r="P9" i="140" s="1"/>
  <c r="Q9" i="140" s="1"/>
  <c r="Q23" i="137" l="1"/>
  <c r="P23" i="137"/>
  <c r="O23" i="137"/>
  <c r="N23" i="137"/>
  <c r="G27" i="137"/>
  <c r="G26" i="137"/>
  <c r="F27" i="137"/>
  <c r="F26" i="137"/>
  <c r="G24" i="137"/>
  <c r="G23" i="137"/>
  <c r="F24" i="137"/>
  <c r="F23" i="137"/>
  <c r="P18" i="137"/>
  <c r="L18" i="137"/>
  <c r="O18" i="137" s="1"/>
  <c r="P17" i="137"/>
  <c r="L17" i="137"/>
  <c r="O17" i="137" s="1"/>
  <c r="P16" i="137"/>
  <c r="L16" i="137"/>
  <c r="O16" i="137" s="1"/>
  <c r="P15" i="137"/>
  <c r="L15" i="137"/>
  <c r="O15" i="137" s="1"/>
  <c r="P14" i="137"/>
  <c r="L14" i="137"/>
  <c r="O14" i="137" s="1"/>
  <c r="P13" i="137"/>
  <c r="L13" i="137"/>
  <c r="O13" i="137" s="1"/>
  <c r="P12" i="137"/>
  <c r="L12" i="137"/>
  <c r="O12" i="137" s="1"/>
  <c r="N15" i="137" l="1"/>
  <c r="N16" i="137"/>
  <c r="Q16" i="137" s="1"/>
  <c r="R16" i="137" s="1"/>
  <c r="N12" i="137"/>
  <c r="Q12" i="137" s="1"/>
  <c r="R12" i="137" s="1"/>
  <c r="Q15" i="137"/>
  <c r="R15" i="137" s="1"/>
  <c r="N13" i="137"/>
  <c r="Q13" i="137" s="1"/>
  <c r="R13" i="137" s="1"/>
  <c r="N14" i="137"/>
  <c r="Q14" i="137" s="1"/>
  <c r="R14" i="137" s="1"/>
  <c r="N17" i="137"/>
  <c r="N18" i="137"/>
  <c r="Q18" i="137" s="1"/>
  <c r="R18" i="137" s="1"/>
  <c r="Q17" i="137" l="1"/>
  <c r="O5" i="140"/>
  <c r="P5" i="140" s="1"/>
  <c r="Q5" i="140" s="1"/>
  <c r="I4" i="140"/>
  <c r="O4" i="140" s="1"/>
  <c r="P4" i="140" s="1"/>
  <c r="Q4" i="140" s="1"/>
  <c r="I3" i="140"/>
  <c r="O3" i="140" s="1"/>
  <c r="P3" i="140" s="1"/>
  <c r="G20" i="140"/>
  <c r="H20" i="140" s="1"/>
  <c r="H17" i="140"/>
  <c r="G16" i="140"/>
  <c r="H16" i="140" s="1"/>
  <c r="G15" i="140"/>
  <c r="H15" i="140" s="1"/>
  <c r="R12" i="140"/>
  <c r="H12" i="140"/>
  <c r="G12" i="140"/>
  <c r="I11" i="140"/>
  <c r="H19" i="140" s="1"/>
  <c r="K11" i="140" l="1"/>
  <c r="R17" i="137"/>
  <c r="I12" i="140"/>
  <c r="M11" i="140"/>
  <c r="H18" i="140"/>
  <c r="G21" i="140"/>
  <c r="H21" i="140" s="1"/>
  <c r="K19" i="137"/>
  <c r="J19" i="137"/>
  <c r="I19" i="137"/>
  <c r="H19" i="137"/>
  <c r="G19" i="137"/>
  <c r="P11" i="137"/>
  <c r="L11" i="137"/>
  <c r="P10" i="137"/>
  <c r="L10" i="137"/>
  <c r="P9" i="137"/>
  <c r="L9" i="137"/>
  <c r="O9" i="137" s="1"/>
  <c r="P8" i="137"/>
  <c r="L8" i="137"/>
  <c r="O8" i="137" s="1"/>
  <c r="P7" i="137"/>
  <c r="L7" i="137"/>
  <c r="O7" i="137" s="1"/>
  <c r="P6" i="137"/>
  <c r="L6" i="137"/>
  <c r="N6" i="137" s="1"/>
  <c r="P5" i="137"/>
  <c r="L5" i="137"/>
  <c r="O5" i="137" s="1"/>
  <c r="P4" i="137"/>
  <c r="L4" i="137"/>
  <c r="N27" i="137" s="1"/>
  <c r="P3" i="137"/>
  <c r="L3" i="137"/>
  <c r="N26" i="137" s="1"/>
  <c r="P11" i="140" l="1"/>
  <c r="Q11" i="140" s="1"/>
  <c r="N8" i="137"/>
  <c r="P19" i="137"/>
  <c r="O11" i="137"/>
  <c r="P24" i="137" s="1"/>
  <c r="N24" i="137"/>
  <c r="O3" i="137"/>
  <c r="O12" i="140"/>
  <c r="O4" i="137"/>
  <c r="M12" i="140"/>
  <c r="K12" i="140"/>
  <c r="N9" i="137"/>
  <c r="Q9" i="137" s="1"/>
  <c r="O6" i="137"/>
  <c r="Q6" i="137" s="1"/>
  <c r="R6" i="137" s="1"/>
  <c r="N10" i="137"/>
  <c r="N11" i="137"/>
  <c r="O24" i="137" s="1"/>
  <c r="O10" i="137"/>
  <c r="N3" i="137"/>
  <c r="O26" i="137" s="1"/>
  <c r="N7" i="137"/>
  <c r="Q7" i="137" s="1"/>
  <c r="N5" i="137"/>
  <c r="Q5" i="137" s="1"/>
  <c r="R5" i="137" s="1"/>
  <c r="N4" i="137"/>
  <c r="Q8" i="137"/>
  <c r="R8" i="137" s="1"/>
  <c r="L19" i="137"/>
  <c r="P12" i="140" l="1"/>
  <c r="Q11" i="137"/>
  <c r="R11" i="137" s="1"/>
  <c r="Q24" i="137"/>
  <c r="P27" i="137"/>
  <c r="Q4" i="137"/>
  <c r="O27" i="137"/>
  <c r="P26" i="137"/>
  <c r="Q3" i="137"/>
  <c r="Q10" i="137"/>
  <c r="O19" i="137"/>
  <c r="N19" i="137"/>
  <c r="R10" i="137"/>
  <c r="R9" i="137"/>
  <c r="R7" i="137"/>
  <c r="R4" i="137" l="1"/>
  <c r="Q27" i="137"/>
  <c r="Q26" i="137"/>
  <c r="R3" i="137"/>
  <c r="Q19" i="137"/>
  <c r="R19" i="137" l="1"/>
</calcChain>
</file>

<file path=xl/sharedStrings.xml><?xml version="1.0" encoding="utf-8"?>
<sst xmlns="http://schemas.openxmlformats.org/spreadsheetml/2006/main" count="138" uniqueCount="73">
  <si>
    <t>Sr. No.</t>
  </si>
  <si>
    <t>Name &amp; Address of Selling Dealer</t>
  </si>
  <si>
    <t xml:space="preserve">GSTIN No. </t>
  </si>
  <si>
    <t>Tax Invoice No.</t>
  </si>
  <si>
    <t>Date of Tax Invoice</t>
  </si>
  <si>
    <t>Name of commodity</t>
  </si>
  <si>
    <t xml:space="preserve">Taxable value of Goods </t>
  </si>
  <si>
    <t>CGST</t>
  </si>
  <si>
    <t>SGST</t>
  </si>
  <si>
    <t>IGST</t>
  </si>
  <si>
    <t>Freight /Other Exp.</t>
  </si>
  <si>
    <t>Trophy</t>
  </si>
  <si>
    <t>03ABTPS8645K1ZU</t>
  </si>
  <si>
    <t>09AAKFN9331M1ZM</t>
  </si>
  <si>
    <t xml:space="preserve">Total Taxable value of Goods </t>
  </si>
  <si>
    <t>% of CGST</t>
  </si>
  <si>
    <t>% of SGST</t>
  </si>
  <si>
    <t>% of IGST</t>
  </si>
  <si>
    <t>TOTAL</t>
  </si>
  <si>
    <t>RD CENTRAL</t>
  </si>
  <si>
    <t>Trophies</t>
  </si>
  <si>
    <t>RD STATE</t>
  </si>
  <si>
    <t>Purchase Summary</t>
  </si>
  <si>
    <t>DATE</t>
  </si>
  <si>
    <t>PARTY'S NAME &amp; ADDRESS</t>
  </si>
  <si>
    <t>GSTIN No.</t>
  </si>
  <si>
    <t>GRAND TOTAL</t>
  </si>
  <si>
    <t>INVOICE
No.</t>
  </si>
  <si>
    <t>PACKING &amp;
FORWARDING</t>
  </si>
  <si>
    <t>TOTAL TAX
CHARGED</t>
  </si>
  <si>
    <t>TOTAL TAXABLE AMOUNT</t>
  </si>
  <si>
    <t>TAX %</t>
  </si>
  <si>
    <t>Customer Type</t>
  </si>
  <si>
    <t>URD Central</t>
  </si>
  <si>
    <t>Sale Summary</t>
  </si>
  <si>
    <t>URD STATE</t>
  </si>
  <si>
    <t>CGST+SGST</t>
  </si>
  <si>
    <t>03AHJPB9721D1ZT</t>
  </si>
  <si>
    <t>Total Amount
ofTax charged</t>
  </si>
  <si>
    <t>Total amount
of Tax invoice</t>
  </si>
  <si>
    <t>TROPHIES       / MADELS</t>
  </si>
  <si>
    <t>CASH</t>
  </si>
  <si>
    <r>
      <rPr>
        <b/>
        <sz val="11"/>
        <color theme="1"/>
        <rFont val="Calibri"/>
        <family val="2"/>
        <scheme val="minor"/>
      </rPr>
      <t>Nizam Metal Works</t>
    </r>
    <r>
      <rPr>
        <sz val="11"/>
        <color theme="1"/>
        <rFont val="Calibri"/>
        <family val="2"/>
        <scheme val="minor"/>
      </rPr>
      <t xml:space="preserve">, Shop no.3, Bhatti Sreet, MORADABAD (U.P.) </t>
    </r>
  </si>
  <si>
    <r>
      <rPr>
        <b/>
        <sz val="11"/>
        <color theme="1"/>
        <rFont val="Calibri"/>
        <family val="2"/>
        <scheme val="minor"/>
      </rPr>
      <t>Supreme Trophies</t>
    </r>
    <r>
      <rPr>
        <sz val="11"/>
        <color theme="1"/>
        <rFont val="Calibri"/>
        <family val="2"/>
        <scheme val="minor"/>
      </rPr>
      <t>, 47-D, Industrial Colony, Near Pahawa Hospital Road, LUDHIANA (Pb)</t>
    </r>
  </si>
  <si>
    <t>Association of Physician of India (API), Saharanpur</t>
  </si>
  <si>
    <t>The Principal, J. V. Jain College, Saharanpur</t>
  </si>
  <si>
    <t>IMA, Saharanpur</t>
  </si>
  <si>
    <t>Febric</t>
  </si>
  <si>
    <t>Sports Trophies</t>
  </si>
  <si>
    <r>
      <rPr>
        <b/>
        <sz val="11"/>
        <color theme="1"/>
        <rFont val="Calibri"/>
        <family val="2"/>
        <scheme val="minor"/>
      </rPr>
      <t xml:space="preserve">M/S Sapan Trading Co </t>
    </r>
    <r>
      <rPr>
        <sz val="11"/>
        <color theme="1"/>
        <rFont val="Calibri"/>
        <family val="2"/>
        <scheme val="minor"/>
      </rPr>
      <t xml:space="preserve">
B-1,/317, Anand Nagar, Near Maqsudan, JALANDHAR</t>
    </r>
  </si>
  <si>
    <t>School Ties/ Patka</t>
  </si>
  <si>
    <t>Transport</t>
  </si>
  <si>
    <t>Cloth</t>
  </si>
  <si>
    <r>
      <rPr>
        <b/>
        <sz val="11"/>
        <color theme="1"/>
        <rFont val="Calibri"/>
        <family val="2"/>
        <scheme val="minor"/>
      </rPr>
      <t>Amber Sports</t>
    </r>
    <r>
      <rPr>
        <sz val="11"/>
        <color theme="1"/>
        <rFont val="Calibri"/>
        <family val="2"/>
        <scheme val="minor"/>
      </rPr>
      <t>, Bhatti Street, Near Ziarat, Moradabad (UP)</t>
    </r>
  </si>
  <si>
    <t>09AGDPR4581L1ZS</t>
  </si>
  <si>
    <t>Archies Plastic Frames</t>
  </si>
  <si>
    <t>Ceremic Mugs</t>
  </si>
  <si>
    <t>School Badges/Report Files</t>
  </si>
  <si>
    <r>
      <rPr>
        <b/>
        <sz val="14"/>
        <color theme="1"/>
        <rFont val="Calibri"/>
        <family val="2"/>
        <scheme val="minor"/>
      </rPr>
      <t>GSTIN NO - 09ACKPM8290L1ZS</t>
    </r>
    <r>
      <rPr>
        <b/>
        <sz val="24"/>
        <color theme="1"/>
        <rFont val="Calibri"/>
        <family val="2"/>
        <scheme val="minor"/>
      </rPr>
      <t xml:space="preserve">                                                       NATRAJ INDIA                                </t>
    </r>
    <r>
      <rPr>
        <b/>
        <sz val="16"/>
        <color theme="1"/>
        <rFont val="Calibri"/>
        <family val="2"/>
        <scheme val="minor"/>
      </rPr>
      <t>SALE DETAILS OF Oct'25</t>
    </r>
    <r>
      <rPr>
        <b/>
        <sz val="24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 xml:space="preserve">SECTOR -12      </t>
    </r>
    <r>
      <rPr>
        <b/>
        <sz val="24"/>
        <color theme="1"/>
        <rFont val="Calibri"/>
        <family val="2"/>
        <scheme val="minor"/>
      </rPr>
      <t xml:space="preserve">                                             </t>
    </r>
    <r>
      <rPr>
        <b/>
        <sz val="20"/>
        <color theme="1"/>
        <rFont val="Calibri"/>
        <family val="2"/>
        <scheme val="minor"/>
      </rPr>
      <t>18-MIG, New Avas Vikas Colony, Delhi Road, SAHARANPUR</t>
    </r>
  </si>
  <si>
    <t>Saharanpur Club, Saharanpur</t>
  </si>
  <si>
    <t>The Reception Committee, District Sports Competition, Saharanpur</t>
  </si>
  <si>
    <t>Vedvet Animal Health Pvt. Ltd. 22, Roadways Colony, Mahipura, Dehradun Road, Saharanpur</t>
  </si>
  <si>
    <t>09AAGCV6892G1ZP</t>
  </si>
  <si>
    <r>
      <rPr>
        <b/>
        <sz val="14"/>
        <color theme="1"/>
        <rFont val="Calibri"/>
        <family val="2"/>
        <scheme val="minor"/>
      </rPr>
      <t>GSTIN NO - 09ACKPM8290L1ZS</t>
    </r>
    <r>
      <rPr>
        <b/>
        <sz val="24"/>
        <color theme="1"/>
        <rFont val="Calibri"/>
        <family val="2"/>
        <scheme val="minor"/>
      </rPr>
      <t xml:space="preserve">                                            NATRAJ INDIA                      </t>
    </r>
    <r>
      <rPr>
        <b/>
        <sz val="16"/>
        <color theme="1"/>
        <rFont val="Calibri"/>
        <family val="2"/>
        <scheme val="minor"/>
      </rPr>
      <t>PURCHASE DETAILS OF Oct'25</t>
    </r>
    <r>
      <rPr>
        <b/>
        <sz val="24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 xml:space="preserve">SECTOR -12      </t>
    </r>
    <r>
      <rPr>
        <b/>
        <sz val="24"/>
        <color theme="1"/>
        <rFont val="Calibri"/>
        <family val="2"/>
        <scheme val="minor"/>
      </rPr>
      <t xml:space="preserve">                                </t>
    </r>
    <r>
      <rPr>
        <b/>
        <sz val="20"/>
        <color theme="1"/>
        <rFont val="Calibri"/>
        <family val="2"/>
        <scheme val="minor"/>
      </rPr>
      <t>18-MIG, New Avas Vikas Colony, Delhi Road, SAHARANPUR</t>
    </r>
  </si>
  <si>
    <t>M/s Indian Oil Corporation Ltd. Noida (U.P.)</t>
  </si>
  <si>
    <t>Upper Primary School, Punwarka, Saharanpur</t>
  </si>
  <si>
    <t>The Pricipal, Brownwood Public School, Saharanpur</t>
  </si>
  <si>
    <t>Book no. 04          Invoice no.165</t>
  </si>
  <si>
    <r>
      <rPr>
        <b/>
        <sz val="11"/>
        <color theme="1"/>
        <rFont val="Calibri"/>
        <family val="2"/>
        <scheme val="minor"/>
      </rPr>
      <t>New Sony Electricals</t>
    </r>
    <r>
      <rPr>
        <sz val="11"/>
        <color theme="1"/>
        <rFont val="Calibri"/>
        <family val="2"/>
        <scheme val="minor"/>
      </rPr>
      <t>, Ahmad Bagh Market, Near Collectrate, Court Road, Saharanpur (UP)</t>
    </r>
  </si>
  <si>
    <t>09ADFPC5137Q1Z7</t>
  </si>
  <si>
    <t>Cealing Fans</t>
  </si>
  <si>
    <t>Trophies m.s. no. 16 &amp; 12</t>
  </si>
  <si>
    <t>Trophies / Medals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</si>
</sst>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10" fontId="1" fillId="0" borderId="0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2" fontId="0" fillId="0" borderId="1" xfId="0" applyNumberFormat="1" applyFont="1" applyBorder="1" applyAlignment="1">
      <alignment horizontal="center" vertical="center" wrapText="1"/>
    </xf>
    <xf numFmtId="10" fontId="0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wrapText="1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0" fontId="4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0" fillId="0" borderId="0" xfId="0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4" fontId="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 wrapText="1"/>
    </xf>
    <xf numFmtId="2" fontId="0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 wrapText="1"/>
    </xf>
    <xf numFmtId="14" fontId="0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R25"/>
  <sheetViews>
    <sheetView tabSelected="1" zoomScale="70" zoomScaleNormal="70" workbookViewId="0">
      <pane ySplit="2" topLeftCell="A3" activePane="bottomLeft" state="frozen"/>
      <selection activeCell="T10" sqref="T10"/>
      <selection pane="bottomLeft" activeCell="U6" sqref="U6"/>
    </sheetView>
  </sheetViews>
  <sheetFormatPr defaultRowHeight="15" x14ac:dyDescent="0.25"/>
  <cols>
    <col min="1" max="1" width="5" style="1" customWidth="1"/>
    <col min="2" max="2" width="26.85546875" style="1" customWidth="1"/>
    <col min="3" max="3" width="21.7109375" style="1" bestFit="1" customWidth="1"/>
    <col min="4" max="4" width="17.28515625" style="1" customWidth="1"/>
    <col min="5" max="5" width="12.85546875" style="1" customWidth="1"/>
    <col min="6" max="6" width="14.42578125" style="1" bestFit="1" customWidth="1"/>
    <col min="7" max="7" width="14.5703125" style="1" customWidth="1"/>
    <col min="8" max="8" width="10.140625" style="1" customWidth="1"/>
    <col min="9" max="9" width="16.85546875" style="1" customWidth="1"/>
    <col min="10" max="10" width="8.5703125" style="1" customWidth="1"/>
    <col min="11" max="11" width="11.28515625" style="1" customWidth="1"/>
    <col min="12" max="12" width="8.85546875" style="1" bestFit="1" customWidth="1"/>
    <col min="13" max="13" width="11.7109375" style="1" bestFit="1" customWidth="1"/>
    <col min="14" max="14" width="8.28515625" style="1" bestFit="1" customWidth="1"/>
    <col min="15" max="15" width="12.140625" style="1" bestFit="1" customWidth="1"/>
    <col min="16" max="16" width="16.85546875" style="1" bestFit="1" customWidth="1"/>
    <col min="17" max="17" width="16.7109375" style="1" bestFit="1" customWidth="1"/>
    <col min="18" max="18" width="11.5703125" style="1" customWidth="1"/>
    <col min="19" max="19" width="0" style="1" hidden="1" customWidth="1"/>
    <col min="20" max="16384" width="9.140625" style="1"/>
  </cols>
  <sheetData>
    <row r="1" spans="1:18" ht="64.5" customHeight="1" x14ac:dyDescent="0.25">
      <c r="A1" s="53" t="s">
        <v>63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5"/>
      <c r="R1" s="30"/>
    </row>
    <row r="2" spans="1:18" ht="72" customHeight="1" x14ac:dyDescent="0.25">
      <c r="A2" s="40" t="s">
        <v>0</v>
      </c>
      <c r="B2" s="40" t="s">
        <v>1</v>
      </c>
      <c r="C2" s="40" t="s">
        <v>2</v>
      </c>
      <c r="D2" s="40" t="s">
        <v>3</v>
      </c>
      <c r="E2" s="40" t="s">
        <v>4</v>
      </c>
      <c r="F2" s="40" t="s">
        <v>5</v>
      </c>
      <c r="G2" s="40" t="s">
        <v>6</v>
      </c>
      <c r="H2" s="40" t="s">
        <v>10</v>
      </c>
      <c r="I2" s="40" t="s">
        <v>14</v>
      </c>
      <c r="J2" s="40" t="s">
        <v>15</v>
      </c>
      <c r="K2" s="40" t="s">
        <v>7</v>
      </c>
      <c r="L2" s="40" t="s">
        <v>16</v>
      </c>
      <c r="M2" s="40" t="s">
        <v>8</v>
      </c>
      <c r="N2" s="40" t="s">
        <v>17</v>
      </c>
      <c r="O2" s="40" t="s">
        <v>9</v>
      </c>
      <c r="P2" s="40" t="s">
        <v>38</v>
      </c>
      <c r="Q2" s="40" t="s">
        <v>39</v>
      </c>
      <c r="R2" s="32" t="s">
        <v>51</v>
      </c>
    </row>
    <row r="3" spans="1:18" ht="72" customHeight="1" x14ac:dyDescent="0.25">
      <c r="A3" s="40">
        <v>1</v>
      </c>
      <c r="B3" s="5" t="s">
        <v>49</v>
      </c>
      <c r="C3" s="5" t="s">
        <v>37</v>
      </c>
      <c r="D3" s="5">
        <v>2947</v>
      </c>
      <c r="E3" s="6">
        <v>45936</v>
      </c>
      <c r="F3" s="5" t="s">
        <v>20</v>
      </c>
      <c r="G3" s="7">
        <v>10363.91</v>
      </c>
      <c r="H3" s="7"/>
      <c r="I3" s="7">
        <f>SUM(G3:H3)</f>
        <v>10363.91</v>
      </c>
      <c r="J3" s="8"/>
      <c r="K3" s="7"/>
      <c r="L3" s="8"/>
      <c r="M3" s="7"/>
      <c r="N3" s="8">
        <v>0.18</v>
      </c>
      <c r="O3" s="7">
        <f t="shared" ref="O3:O8" si="0">I3*N3</f>
        <v>1865.5038</v>
      </c>
      <c r="P3" s="7">
        <f>ROUND(SUM(K3,M3,O3),0)</f>
        <v>1866</v>
      </c>
      <c r="Q3" s="7">
        <v>12229</v>
      </c>
      <c r="R3" s="41">
        <v>500</v>
      </c>
    </row>
    <row r="4" spans="1:18" ht="57" customHeight="1" x14ac:dyDescent="0.25">
      <c r="A4" s="40">
        <v>2</v>
      </c>
      <c r="B4" s="5" t="s">
        <v>43</v>
      </c>
      <c r="C4" s="5" t="s">
        <v>12</v>
      </c>
      <c r="D4" s="5">
        <v>1219</v>
      </c>
      <c r="E4" s="6">
        <v>45937</v>
      </c>
      <c r="F4" s="5" t="s">
        <v>48</v>
      </c>
      <c r="G4" s="7">
        <v>14555</v>
      </c>
      <c r="H4" s="7"/>
      <c r="I4" s="7">
        <f t="shared" ref="I4:I5" si="1">SUM(G4:H4)</f>
        <v>14555</v>
      </c>
      <c r="J4" s="8"/>
      <c r="K4" s="7"/>
      <c r="L4" s="8"/>
      <c r="M4" s="7"/>
      <c r="N4" s="8">
        <v>0.18</v>
      </c>
      <c r="O4" s="7">
        <f t="shared" si="0"/>
        <v>2619.9</v>
      </c>
      <c r="P4" s="7">
        <f t="shared" ref="P4" si="2">ROUND(SUM(K4,M4,O4),0)</f>
        <v>2620</v>
      </c>
      <c r="Q4" s="7">
        <f t="shared" ref="Q4" si="3">ROUND(SUM(I4,P4),0)</f>
        <v>17175</v>
      </c>
      <c r="R4" s="41">
        <v>720</v>
      </c>
    </row>
    <row r="5" spans="1:18" ht="60" x14ac:dyDescent="0.25">
      <c r="A5" s="40">
        <v>3</v>
      </c>
      <c r="B5" s="5" t="s">
        <v>43</v>
      </c>
      <c r="C5" s="5" t="s">
        <v>12</v>
      </c>
      <c r="D5" s="5">
        <v>1225</v>
      </c>
      <c r="E5" s="6">
        <v>45939</v>
      </c>
      <c r="F5" s="5" t="s">
        <v>48</v>
      </c>
      <c r="G5" s="7">
        <v>13070</v>
      </c>
      <c r="H5" s="7"/>
      <c r="I5" s="7">
        <f t="shared" si="1"/>
        <v>13070</v>
      </c>
      <c r="J5" s="8"/>
      <c r="K5" s="7"/>
      <c r="L5" s="8"/>
      <c r="M5" s="7"/>
      <c r="N5" s="8">
        <v>0.18</v>
      </c>
      <c r="O5" s="7">
        <f t="shared" si="0"/>
        <v>2352.6</v>
      </c>
      <c r="P5" s="7">
        <f t="shared" ref="P5" si="4">ROUND(SUM(K5,M5,O5),0)</f>
        <v>2353</v>
      </c>
      <c r="Q5" s="7">
        <f t="shared" ref="Q5" si="5">ROUND(SUM(I5,P5),0)</f>
        <v>15423</v>
      </c>
      <c r="R5" s="41">
        <v>520</v>
      </c>
    </row>
    <row r="6" spans="1:18" ht="63" customHeight="1" x14ac:dyDescent="0.25">
      <c r="A6" s="51">
        <v>4</v>
      </c>
      <c r="B6" s="58" t="s">
        <v>49</v>
      </c>
      <c r="C6" s="58" t="s">
        <v>37</v>
      </c>
      <c r="D6" s="58">
        <v>3178</v>
      </c>
      <c r="E6" s="60">
        <v>45947</v>
      </c>
      <c r="F6" s="46" t="s">
        <v>20</v>
      </c>
      <c r="G6" s="7">
        <v>1500</v>
      </c>
      <c r="H6" s="7"/>
      <c r="I6" s="7">
        <f>SUM(G6:H6)</f>
        <v>1500</v>
      </c>
      <c r="J6" s="8"/>
      <c r="K6" s="7"/>
      <c r="L6" s="8"/>
      <c r="M6" s="7"/>
      <c r="N6" s="8">
        <v>0.05</v>
      </c>
      <c r="O6" s="7">
        <f t="shared" si="0"/>
        <v>75</v>
      </c>
      <c r="P6" s="7">
        <f>ROUND(SUM(K6,M6,O6),0)</f>
        <v>75</v>
      </c>
      <c r="Q6" s="49">
        <v>8889</v>
      </c>
      <c r="R6" s="47">
        <v>280</v>
      </c>
    </row>
    <row r="7" spans="1:18" ht="34.5" customHeight="1" x14ac:dyDescent="0.25">
      <c r="A7" s="52"/>
      <c r="B7" s="59"/>
      <c r="C7" s="59"/>
      <c r="D7" s="59"/>
      <c r="E7" s="61"/>
      <c r="F7" s="46" t="s">
        <v>20</v>
      </c>
      <c r="G7" s="7">
        <v>6198.03</v>
      </c>
      <c r="H7" s="7"/>
      <c r="I7" s="7">
        <f>SUM(G7:H7)</f>
        <v>6198.03</v>
      </c>
      <c r="J7" s="8"/>
      <c r="K7" s="7"/>
      <c r="L7" s="8"/>
      <c r="M7" s="7"/>
      <c r="N7" s="8">
        <v>0.18</v>
      </c>
      <c r="O7" s="7">
        <f t="shared" si="0"/>
        <v>1115.6453999999999</v>
      </c>
      <c r="P7" s="7">
        <f>ROUND(SUM(K7,M7,O7),0)</f>
        <v>1116</v>
      </c>
      <c r="Q7" s="50"/>
      <c r="R7" s="48"/>
    </row>
    <row r="8" spans="1:18" ht="57" customHeight="1" x14ac:dyDescent="0.25">
      <c r="A8" s="40">
        <v>5</v>
      </c>
      <c r="B8" s="5" t="s">
        <v>43</v>
      </c>
      <c r="C8" s="5" t="s">
        <v>12</v>
      </c>
      <c r="D8" s="5">
        <v>1244</v>
      </c>
      <c r="E8" s="6">
        <v>45947</v>
      </c>
      <c r="F8" s="5" t="s">
        <v>48</v>
      </c>
      <c r="G8" s="7">
        <v>12890</v>
      </c>
      <c r="H8" s="7"/>
      <c r="I8" s="7">
        <f t="shared" ref="I8:I9" si="6">SUM(G8:H8)</f>
        <v>12890</v>
      </c>
      <c r="J8" s="8"/>
      <c r="K8" s="7"/>
      <c r="L8" s="8"/>
      <c r="M8" s="7"/>
      <c r="N8" s="8">
        <v>0.18</v>
      </c>
      <c r="O8" s="7">
        <f t="shared" si="0"/>
        <v>2320.1999999999998</v>
      </c>
      <c r="P8" s="7">
        <f t="shared" ref="P8:P9" si="7">ROUND(SUM(K8,M8,O8),0)</f>
        <v>2320</v>
      </c>
      <c r="Q8" s="7">
        <f t="shared" ref="Q8:Q10" si="8">ROUND(SUM(I8,P8),0)</f>
        <v>15210</v>
      </c>
      <c r="R8" s="45">
        <v>520</v>
      </c>
    </row>
    <row r="9" spans="1:18" ht="57" customHeight="1" x14ac:dyDescent="0.25">
      <c r="A9" s="40">
        <v>6</v>
      </c>
      <c r="B9" s="5" t="s">
        <v>53</v>
      </c>
      <c r="C9" s="5" t="s">
        <v>54</v>
      </c>
      <c r="D9" s="5" t="s">
        <v>67</v>
      </c>
      <c r="E9" s="6">
        <v>45955</v>
      </c>
      <c r="F9" s="5" t="s">
        <v>71</v>
      </c>
      <c r="G9" s="7">
        <v>14100</v>
      </c>
      <c r="H9" s="7"/>
      <c r="I9" s="7">
        <f t="shared" si="6"/>
        <v>14100</v>
      </c>
      <c r="J9" s="8">
        <v>2.5000000000000001E-2</v>
      </c>
      <c r="K9" s="7">
        <f>(I9*J9)</f>
        <v>352.5</v>
      </c>
      <c r="L9" s="8">
        <v>2.5000000000000001E-2</v>
      </c>
      <c r="M9" s="7">
        <f>(I9*L9)</f>
        <v>352.5</v>
      </c>
      <c r="N9" s="8"/>
      <c r="O9" s="7"/>
      <c r="P9" s="7">
        <f t="shared" si="7"/>
        <v>705</v>
      </c>
      <c r="Q9" s="7">
        <f t="shared" si="8"/>
        <v>14805</v>
      </c>
      <c r="R9" s="45"/>
    </row>
    <row r="10" spans="1:18" ht="57" customHeight="1" x14ac:dyDescent="0.25">
      <c r="A10" s="40">
        <v>7</v>
      </c>
      <c r="B10" s="5" t="s">
        <v>42</v>
      </c>
      <c r="C10" s="5" t="s">
        <v>13</v>
      </c>
      <c r="D10" s="5">
        <v>1942</v>
      </c>
      <c r="E10" s="6">
        <v>45955</v>
      </c>
      <c r="F10" s="5" t="s">
        <v>20</v>
      </c>
      <c r="G10" s="7">
        <v>9000</v>
      </c>
      <c r="H10" s="7"/>
      <c r="I10" s="7">
        <f>SUM(G10:H10)</f>
        <v>9000</v>
      </c>
      <c r="J10" s="8">
        <v>2.5000000000000001E-2</v>
      </c>
      <c r="K10" s="7">
        <f>(I10*J10)</f>
        <v>225</v>
      </c>
      <c r="L10" s="8">
        <v>2.5000000000000001E-2</v>
      </c>
      <c r="M10" s="7">
        <f>(I10*L10)</f>
        <v>225</v>
      </c>
      <c r="N10" s="8"/>
      <c r="O10" s="7"/>
      <c r="P10" s="7">
        <f>ROUND(SUM(K10,M10,O10),0)</f>
        <v>450</v>
      </c>
      <c r="Q10" s="7">
        <f t="shared" si="8"/>
        <v>9450</v>
      </c>
      <c r="R10" s="45"/>
    </row>
    <row r="11" spans="1:18" ht="60" x14ac:dyDescent="0.25">
      <c r="A11" s="40">
        <v>8</v>
      </c>
      <c r="B11" s="5" t="s">
        <v>68</v>
      </c>
      <c r="C11" s="5" t="s">
        <v>69</v>
      </c>
      <c r="D11" s="5">
        <v>2652</v>
      </c>
      <c r="E11" s="6">
        <v>45959</v>
      </c>
      <c r="F11" s="5" t="s">
        <v>70</v>
      </c>
      <c r="G11" s="7">
        <v>4237</v>
      </c>
      <c r="H11" s="7"/>
      <c r="I11" s="7">
        <f t="shared" ref="I11" si="9">SUM(G11:H11)</f>
        <v>4237</v>
      </c>
      <c r="J11" s="8">
        <v>0.09</v>
      </c>
      <c r="K11" s="7">
        <f>(I11*J11)</f>
        <v>381.33</v>
      </c>
      <c r="L11" s="8">
        <v>0.09</v>
      </c>
      <c r="M11" s="7">
        <f>(I11*L11)</f>
        <v>381.33</v>
      </c>
      <c r="N11" s="8"/>
      <c r="O11" s="7"/>
      <c r="P11" s="7">
        <f t="shared" ref="P11" si="10">ROUND(SUM(K11,M11,O11),0)</f>
        <v>763</v>
      </c>
      <c r="Q11" s="7">
        <f t="shared" ref="Q11" si="11">ROUND(SUM(I11,P11),0)</f>
        <v>5000</v>
      </c>
      <c r="R11" s="41"/>
    </row>
    <row r="12" spans="1:18" ht="33" customHeight="1" x14ac:dyDescent="0.25">
      <c r="A12" s="40"/>
      <c r="B12" s="56" t="s">
        <v>18</v>
      </c>
      <c r="C12" s="56"/>
      <c r="D12" s="56"/>
      <c r="E12" s="56"/>
      <c r="F12" s="56"/>
      <c r="G12" s="9">
        <f>ROUND(SUM(G3:G11),0)</f>
        <v>85914</v>
      </c>
      <c r="H12" s="9">
        <f>ROUND(SUM(H3:H11),0)</f>
        <v>0</v>
      </c>
      <c r="I12" s="9">
        <f>ROUND(SUM(I3:I11),0)</f>
        <v>85914</v>
      </c>
      <c r="J12" s="10"/>
      <c r="K12" s="9">
        <f>SUM(K3:K11)</f>
        <v>958.82999999999993</v>
      </c>
      <c r="L12" s="10"/>
      <c r="M12" s="9">
        <f>SUM(M3:M11)</f>
        <v>958.82999999999993</v>
      </c>
      <c r="N12" s="10"/>
      <c r="O12" s="9">
        <f>ROUND(SUM(O3:O11),0)</f>
        <v>10349</v>
      </c>
      <c r="P12" s="9">
        <f>ROUND(SUM(P3:P11),0)</f>
        <v>12268</v>
      </c>
      <c r="Q12" s="9">
        <f>ROUND(SUM(I12,P12),0)</f>
        <v>98182</v>
      </c>
      <c r="R12" s="9">
        <f>ROUND(SUM(R3:R11),0)</f>
        <v>2540</v>
      </c>
    </row>
    <row r="13" spans="1:18" x14ac:dyDescent="0.25">
      <c r="A13" s="42"/>
    </row>
    <row r="14" spans="1:18" ht="18.75" customHeight="1" x14ac:dyDescent="0.25">
      <c r="A14" s="42"/>
      <c r="B14" s="42"/>
      <c r="C14" s="3"/>
      <c r="D14" s="57" t="s">
        <v>22</v>
      </c>
      <c r="E14" s="57"/>
      <c r="F14" s="57"/>
      <c r="G14" s="57"/>
      <c r="H14" s="57"/>
      <c r="I14" s="57"/>
      <c r="J14" s="4"/>
      <c r="K14" s="43"/>
      <c r="L14" s="4"/>
      <c r="M14" s="20"/>
      <c r="N14" s="43"/>
      <c r="O14" s="43"/>
      <c r="P14" s="43"/>
      <c r="Q14" s="43"/>
    </row>
    <row r="15" spans="1:18" ht="18.75" customHeight="1" x14ac:dyDescent="0.25">
      <c r="A15" s="42"/>
      <c r="B15" s="42"/>
      <c r="C15" s="3"/>
      <c r="D15" s="40" t="s">
        <v>19</v>
      </c>
      <c r="E15" s="5" t="s">
        <v>47</v>
      </c>
      <c r="F15" s="8">
        <v>0.05</v>
      </c>
      <c r="G15" s="7">
        <f>SUMIFS(I3:I11,N3:N11,F15,F3:F11,"=*Febric*")</f>
        <v>0</v>
      </c>
      <c r="H15" s="7">
        <f t="shared" ref="H15:H21" si="12">ROUND((G15*F15),0)</f>
        <v>0</v>
      </c>
      <c r="I15" s="7" t="s">
        <v>9</v>
      </c>
      <c r="J15" s="4"/>
      <c r="K15" s="43"/>
      <c r="L15" s="4"/>
      <c r="M15" s="20"/>
      <c r="N15" s="43"/>
      <c r="O15" s="43"/>
      <c r="P15" s="43"/>
      <c r="Q15" s="43"/>
    </row>
    <row r="16" spans="1:18" ht="45" customHeight="1" x14ac:dyDescent="0.25">
      <c r="A16" s="42"/>
      <c r="B16" s="3"/>
      <c r="C16" s="3"/>
      <c r="D16" s="40" t="s">
        <v>19</v>
      </c>
      <c r="E16" s="5" t="s">
        <v>55</v>
      </c>
      <c r="F16" s="8">
        <v>0.18</v>
      </c>
      <c r="G16" s="7">
        <f>SUMIFS(I3:I11,N3:N11,F16,F3:F11,"=*Archies Plastic Frame*")</f>
        <v>0</v>
      </c>
      <c r="H16" s="7">
        <f t="shared" si="12"/>
        <v>0</v>
      </c>
      <c r="I16" s="7" t="s">
        <v>9</v>
      </c>
      <c r="J16" s="4"/>
      <c r="K16" s="43"/>
      <c r="L16" s="4"/>
      <c r="M16" s="43"/>
      <c r="N16" s="4"/>
      <c r="O16" s="43"/>
      <c r="P16" s="43"/>
      <c r="Q16" s="43"/>
    </row>
    <row r="17" spans="1:17" ht="30" x14ac:dyDescent="0.25">
      <c r="A17" s="42"/>
      <c r="B17" s="3"/>
      <c r="C17" s="3"/>
      <c r="D17" s="40" t="s">
        <v>19</v>
      </c>
      <c r="E17" s="5" t="s">
        <v>72</v>
      </c>
      <c r="F17" s="8">
        <v>0.05</v>
      </c>
      <c r="G17" s="7">
        <f>SUMIFS(I3:I11,N3:N11,F17,F3:F11,"=*Troph*")</f>
        <v>1500</v>
      </c>
      <c r="H17" s="7">
        <f t="shared" si="12"/>
        <v>75</v>
      </c>
      <c r="I17" s="7" t="s">
        <v>9</v>
      </c>
      <c r="J17" s="4"/>
      <c r="K17" s="43"/>
      <c r="L17" s="4"/>
      <c r="M17" s="43"/>
      <c r="N17" s="4"/>
      <c r="O17" s="43"/>
      <c r="P17" s="43"/>
      <c r="Q17" s="43"/>
    </row>
    <row r="18" spans="1:17" ht="30" x14ac:dyDescent="0.25">
      <c r="A18" s="42"/>
      <c r="B18" s="42"/>
      <c r="C18" s="42"/>
      <c r="D18" s="40" t="s">
        <v>19</v>
      </c>
      <c r="E18" s="5" t="s">
        <v>48</v>
      </c>
      <c r="F18" s="8">
        <v>0.18</v>
      </c>
      <c r="G18" s="7">
        <f>SUMIFS(I3:I11,N3:N11,F18,F3:F11,"=*Troph*")</f>
        <v>57076.94</v>
      </c>
      <c r="H18" s="7">
        <f t="shared" si="12"/>
        <v>10274</v>
      </c>
      <c r="I18" s="7" t="s">
        <v>9</v>
      </c>
      <c r="J18" s="4"/>
      <c r="K18" s="43"/>
      <c r="L18" s="4"/>
      <c r="M18" s="2"/>
      <c r="N18" s="4"/>
      <c r="O18" s="43"/>
      <c r="P18" s="43"/>
      <c r="Q18" s="43"/>
    </row>
    <row r="19" spans="1:17" ht="27.75" customHeight="1" x14ac:dyDescent="0.25">
      <c r="A19" s="42"/>
      <c r="B19" s="42"/>
      <c r="C19" s="42"/>
      <c r="D19" s="40" t="s">
        <v>21</v>
      </c>
      <c r="E19" s="5" t="s">
        <v>70</v>
      </c>
      <c r="F19" s="8">
        <v>0.18</v>
      </c>
      <c r="G19" s="7">
        <f>SUMIFS(I3:I11,J3:J11,"=9%",F3:F11,"=*Fans*")</f>
        <v>4237</v>
      </c>
      <c r="H19" s="7">
        <f t="shared" si="12"/>
        <v>763</v>
      </c>
      <c r="I19" s="7" t="s">
        <v>36</v>
      </c>
      <c r="J19" s="4"/>
      <c r="K19" s="43"/>
      <c r="L19" s="4"/>
      <c r="M19" s="2"/>
      <c r="N19" s="4"/>
      <c r="O19" s="43"/>
      <c r="P19" s="43"/>
      <c r="Q19" s="43"/>
    </row>
    <row r="20" spans="1:17" x14ac:dyDescent="0.25">
      <c r="A20" s="42"/>
      <c r="D20" s="40" t="s">
        <v>21</v>
      </c>
      <c r="E20" s="5" t="s">
        <v>52</v>
      </c>
      <c r="F20" s="8">
        <v>0.05</v>
      </c>
      <c r="G20" s="7">
        <f>SUMIFS(I3:I11,J3:J11,"=2.5%",F3:F11,"=*Cloth*")</f>
        <v>0</v>
      </c>
      <c r="H20" s="7">
        <f t="shared" si="12"/>
        <v>0</v>
      </c>
      <c r="I20" s="7" t="s">
        <v>36</v>
      </c>
    </row>
    <row r="21" spans="1:17" x14ac:dyDescent="0.25">
      <c r="D21" s="40" t="s">
        <v>21</v>
      </c>
      <c r="E21" s="5" t="s">
        <v>11</v>
      </c>
      <c r="F21" s="8">
        <v>0.05</v>
      </c>
      <c r="G21" s="7">
        <f>SUMIFS(I3:I11,J3:J11,"=2.5%",F3:F11,"=*Trophies*")</f>
        <v>23100</v>
      </c>
      <c r="H21" s="7">
        <f t="shared" si="12"/>
        <v>1155</v>
      </c>
      <c r="I21" s="7" t="s">
        <v>36</v>
      </c>
    </row>
    <row r="22" spans="1:17" x14ac:dyDescent="0.25">
      <c r="D22" s="21"/>
      <c r="E22" s="21"/>
      <c r="F22" s="21"/>
      <c r="G22" s="21"/>
      <c r="H22" s="21"/>
      <c r="I22" s="21"/>
    </row>
    <row r="23" spans="1:17" x14ac:dyDescent="0.25">
      <c r="D23" s="21"/>
      <c r="E23" s="21"/>
      <c r="F23" s="21"/>
      <c r="G23" s="21"/>
      <c r="H23" s="21"/>
      <c r="I23" s="21"/>
    </row>
    <row r="24" spans="1:17" x14ac:dyDescent="0.25">
      <c r="D24" s="21"/>
      <c r="E24" s="21"/>
      <c r="F24" s="21"/>
      <c r="G24" s="21"/>
      <c r="H24" s="21"/>
      <c r="I24" s="21"/>
    </row>
    <row r="25" spans="1:17" x14ac:dyDescent="0.25">
      <c r="D25" s="21"/>
      <c r="E25" s="21"/>
      <c r="F25" s="21"/>
      <c r="G25" s="21"/>
      <c r="H25" s="21"/>
      <c r="I25" s="21"/>
    </row>
  </sheetData>
  <mergeCells count="8">
    <mergeCell ref="A6:A7"/>
    <mergeCell ref="A1:Q1"/>
    <mergeCell ref="B12:F12"/>
    <mergeCell ref="D14:I14"/>
    <mergeCell ref="B6:B7"/>
    <mergeCell ref="C6:C7"/>
    <mergeCell ref="D6:D7"/>
    <mergeCell ref="E6:E7"/>
  </mergeCells>
  <pageMargins left="0.25" right="0.25" top="0.75" bottom="0.75" header="0.3" footer="0.3"/>
  <pageSetup paperSize="5" scale="6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  <pageSetUpPr fitToPage="1"/>
  </sheetPr>
  <dimension ref="A1:U44"/>
  <sheetViews>
    <sheetView zoomScale="77" zoomScaleNormal="77" workbookViewId="0">
      <pane ySplit="2" topLeftCell="A5" activePane="bottomLeft" state="frozen"/>
      <selection activeCell="T10" sqref="T10"/>
      <selection pane="bottomLeft" activeCell="T10" sqref="T10"/>
    </sheetView>
  </sheetViews>
  <sheetFormatPr defaultRowHeight="15" x14ac:dyDescent="0.25"/>
  <cols>
    <col min="1" max="1" width="3.85546875" style="11" customWidth="1"/>
    <col min="2" max="2" width="12.85546875" style="11" bestFit="1" customWidth="1"/>
    <col min="3" max="3" width="8.85546875" style="11" bestFit="1" customWidth="1"/>
    <col min="4" max="4" width="31.7109375" style="11" bestFit="1" customWidth="1"/>
    <col min="5" max="5" width="12.42578125" style="24" bestFit="1" customWidth="1"/>
    <col min="6" max="6" width="19.5703125" style="11" bestFit="1" customWidth="1"/>
    <col min="7" max="7" width="12" style="11" bestFit="1" customWidth="1"/>
    <col min="8" max="8" width="11.5703125" style="11" customWidth="1"/>
    <col min="9" max="9" width="8.85546875" style="11" customWidth="1"/>
    <col min="10" max="10" width="13.140625" style="11" customWidth="1"/>
    <col min="11" max="11" width="17.42578125" style="11" customWidth="1"/>
    <col min="12" max="12" width="14.85546875" style="11" bestFit="1" customWidth="1"/>
    <col min="13" max="13" width="8.7109375" style="11" customWidth="1"/>
    <col min="14" max="14" width="12" style="11" customWidth="1"/>
    <col min="15" max="15" width="12.85546875" style="11" customWidth="1"/>
    <col min="16" max="16" width="10.5703125" style="11" bestFit="1" customWidth="1"/>
    <col min="17" max="17" width="13.140625" style="11" customWidth="1"/>
    <col min="18" max="18" width="13.5703125" style="11" bestFit="1" customWidth="1"/>
    <col min="19" max="16384" width="9.140625" style="11"/>
  </cols>
  <sheetData>
    <row r="1" spans="1:21" s="39" customFormat="1" ht="65.25" customHeight="1" x14ac:dyDescent="0.25">
      <c r="A1" s="62" t="s">
        <v>58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21" s="39" customFormat="1" ht="60" x14ac:dyDescent="0.25">
      <c r="A2" s="34" t="s">
        <v>0</v>
      </c>
      <c r="B2" s="35" t="s">
        <v>23</v>
      </c>
      <c r="C2" s="34" t="s">
        <v>27</v>
      </c>
      <c r="D2" s="35" t="s">
        <v>24</v>
      </c>
      <c r="E2" s="34" t="s">
        <v>32</v>
      </c>
      <c r="F2" s="35" t="s">
        <v>25</v>
      </c>
      <c r="G2" s="34" t="s">
        <v>50</v>
      </c>
      <c r="H2" s="34" t="s">
        <v>56</v>
      </c>
      <c r="I2" s="34" t="s">
        <v>57</v>
      </c>
      <c r="J2" s="34" t="s">
        <v>40</v>
      </c>
      <c r="K2" s="34" t="s">
        <v>28</v>
      </c>
      <c r="L2" s="34" t="s">
        <v>30</v>
      </c>
      <c r="M2" s="34" t="s">
        <v>31</v>
      </c>
      <c r="N2" s="35" t="s">
        <v>7</v>
      </c>
      <c r="O2" s="35" t="s">
        <v>8</v>
      </c>
      <c r="P2" s="35" t="s">
        <v>9</v>
      </c>
      <c r="Q2" s="34" t="s">
        <v>29</v>
      </c>
      <c r="R2" s="34" t="s">
        <v>26</v>
      </c>
    </row>
    <row r="3" spans="1:21" s="39" customFormat="1" x14ac:dyDescent="0.25">
      <c r="A3" s="34">
        <v>1</v>
      </c>
      <c r="B3" s="33">
        <v>45931</v>
      </c>
      <c r="C3" s="34">
        <v>111</v>
      </c>
      <c r="D3" s="5" t="s">
        <v>41</v>
      </c>
      <c r="E3" s="12" t="s">
        <v>35</v>
      </c>
      <c r="F3" s="13"/>
      <c r="G3" s="14"/>
      <c r="H3" s="13"/>
      <c r="I3" s="13"/>
      <c r="J3" s="14">
        <v>13500</v>
      </c>
      <c r="K3" s="14">
        <v>0</v>
      </c>
      <c r="L3" s="14">
        <f t="shared" ref="L3:L14" si="0">IF(ISBLANK(G3)=FALSE,SUM(G3,K3),
IF(ISBLANK(H3)=FALSE,SUM(H3,K3),
IF(ISBLANK(I3)=FALSE,SUM(I3,K3),
IF(ISBLANK(J3)=FALSE,SUM(J3,K3),0))))</f>
        <v>13500</v>
      </c>
      <c r="M3" s="15">
        <v>0.05</v>
      </c>
      <c r="N3" s="14">
        <f t="shared" ref="N3:N9" si="1">IF(ISNUMBER(SEARCH("State",E3)),(M3/2)*L3,"")</f>
        <v>337.5</v>
      </c>
      <c r="O3" s="14">
        <f t="shared" ref="O3:O14" si="2">IF(ISNUMBER(SEARCH("State",E3)),(M3/2)*L3,"")</f>
        <v>337.5</v>
      </c>
      <c r="P3" s="14" t="str">
        <f t="shared" ref="P3:P14" si="3">IF(ISNUMBER(SEARCH("Central",E3)),L3*M3,"")</f>
        <v/>
      </c>
      <c r="Q3" s="14">
        <f>ROUND(SUM(N3:P3),0)</f>
        <v>675</v>
      </c>
      <c r="R3" s="14">
        <f>ROUND(SUM(L3,Q3),0)</f>
        <v>14175</v>
      </c>
    </row>
    <row r="4" spans="1:21" s="39" customFormat="1" ht="30" x14ac:dyDescent="0.25">
      <c r="A4" s="34">
        <v>2</v>
      </c>
      <c r="B4" s="33">
        <v>45933</v>
      </c>
      <c r="C4" s="34">
        <v>112</v>
      </c>
      <c r="D4" s="12" t="s">
        <v>44</v>
      </c>
      <c r="E4" s="12" t="s">
        <v>35</v>
      </c>
      <c r="F4" s="13"/>
      <c r="G4" s="14"/>
      <c r="H4" s="13"/>
      <c r="I4" s="13"/>
      <c r="J4" s="14">
        <v>1400</v>
      </c>
      <c r="K4" s="14">
        <v>0</v>
      </c>
      <c r="L4" s="14">
        <f t="shared" si="0"/>
        <v>1400</v>
      </c>
      <c r="M4" s="15">
        <v>0.18</v>
      </c>
      <c r="N4" s="14">
        <f t="shared" si="1"/>
        <v>126</v>
      </c>
      <c r="O4" s="14">
        <f t="shared" si="2"/>
        <v>126</v>
      </c>
      <c r="P4" s="14" t="str">
        <f t="shared" si="3"/>
        <v/>
      </c>
      <c r="Q4" s="14">
        <f>ROUND(SUM(N4:P4),0)</f>
        <v>252</v>
      </c>
      <c r="R4" s="14">
        <f>ROUND(SUM(L4,Q4),0)</f>
        <v>1652</v>
      </c>
    </row>
    <row r="5" spans="1:21" s="39" customFormat="1" x14ac:dyDescent="0.25">
      <c r="A5" s="34">
        <v>3</v>
      </c>
      <c r="B5" s="33">
        <v>45933</v>
      </c>
      <c r="C5" s="34">
        <v>113</v>
      </c>
      <c r="D5" s="12" t="s">
        <v>41</v>
      </c>
      <c r="E5" s="12" t="s">
        <v>35</v>
      </c>
      <c r="F5" s="12"/>
      <c r="G5" s="14"/>
      <c r="H5" s="13"/>
      <c r="I5" s="13"/>
      <c r="J5" s="12">
        <v>9000</v>
      </c>
      <c r="K5" s="14">
        <v>0</v>
      </c>
      <c r="L5" s="14">
        <f t="shared" si="0"/>
        <v>9000</v>
      </c>
      <c r="M5" s="15">
        <v>0.05</v>
      </c>
      <c r="N5" s="14">
        <f t="shared" si="1"/>
        <v>225</v>
      </c>
      <c r="O5" s="14">
        <f t="shared" si="2"/>
        <v>225</v>
      </c>
      <c r="P5" s="14" t="str">
        <f t="shared" si="3"/>
        <v/>
      </c>
      <c r="Q5" s="14">
        <f t="shared" ref="Q5:Q10" si="4">ROUND(SUM(N5:P5),0)</f>
        <v>450</v>
      </c>
      <c r="R5" s="14">
        <f>ROUND(SUM(L5,Q5),0)</f>
        <v>9450</v>
      </c>
    </row>
    <row r="6" spans="1:21" s="39" customFormat="1" x14ac:dyDescent="0.25">
      <c r="A6" s="34">
        <v>4</v>
      </c>
      <c r="B6" s="33">
        <v>45934</v>
      </c>
      <c r="C6" s="34">
        <v>114</v>
      </c>
      <c r="D6" s="12" t="s">
        <v>59</v>
      </c>
      <c r="E6" s="12" t="s">
        <v>35</v>
      </c>
      <c r="F6" s="13"/>
      <c r="G6" s="14"/>
      <c r="H6" s="14"/>
      <c r="I6" s="13"/>
      <c r="J6" s="14">
        <v>7100</v>
      </c>
      <c r="K6" s="14">
        <v>0</v>
      </c>
      <c r="L6" s="14">
        <f t="shared" si="0"/>
        <v>7100</v>
      </c>
      <c r="M6" s="15">
        <v>0.05</v>
      </c>
      <c r="N6" s="14">
        <f>IF(ISNUMBER(SEARCH("State",E6)),(M6/2)*L6,"")</f>
        <v>177.5</v>
      </c>
      <c r="O6" s="14">
        <f t="shared" si="2"/>
        <v>177.5</v>
      </c>
      <c r="P6" s="14" t="str">
        <f t="shared" si="3"/>
        <v/>
      </c>
      <c r="Q6" s="14">
        <f t="shared" si="4"/>
        <v>355</v>
      </c>
      <c r="R6" s="14">
        <f t="shared" ref="R6:R14" si="5">ROUND(SUM(L6,Q6),0)</f>
        <v>7455</v>
      </c>
      <c r="U6" s="31"/>
    </row>
    <row r="7" spans="1:21" s="39" customFormat="1" x14ac:dyDescent="0.25">
      <c r="A7" s="34">
        <v>5</v>
      </c>
      <c r="B7" s="33">
        <v>45934</v>
      </c>
      <c r="C7" s="34">
        <v>115</v>
      </c>
      <c r="D7" s="12" t="s">
        <v>59</v>
      </c>
      <c r="E7" s="12" t="s">
        <v>35</v>
      </c>
      <c r="F7" s="13"/>
      <c r="G7" s="14"/>
      <c r="H7" s="13"/>
      <c r="I7" s="13"/>
      <c r="J7" s="14">
        <v>6250</v>
      </c>
      <c r="K7" s="14">
        <v>0</v>
      </c>
      <c r="L7" s="14">
        <f t="shared" si="0"/>
        <v>6250</v>
      </c>
      <c r="M7" s="15">
        <v>0.18</v>
      </c>
      <c r="N7" s="14">
        <f t="shared" si="1"/>
        <v>562.5</v>
      </c>
      <c r="O7" s="14">
        <f t="shared" si="2"/>
        <v>562.5</v>
      </c>
      <c r="P7" s="14" t="str">
        <f t="shared" si="3"/>
        <v/>
      </c>
      <c r="Q7" s="14">
        <f t="shared" si="4"/>
        <v>1125</v>
      </c>
      <c r="R7" s="14">
        <f t="shared" si="5"/>
        <v>7375</v>
      </c>
    </row>
    <row r="8" spans="1:21" s="39" customFormat="1" ht="45" x14ac:dyDescent="0.25">
      <c r="A8" s="34">
        <v>6</v>
      </c>
      <c r="B8" s="33">
        <v>45938</v>
      </c>
      <c r="C8" s="34">
        <v>116</v>
      </c>
      <c r="D8" s="12" t="s">
        <v>60</v>
      </c>
      <c r="E8" s="12" t="s">
        <v>35</v>
      </c>
      <c r="F8" s="13"/>
      <c r="G8" s="14"/>
      <c r="H8" s="13"/>
      <c r="I8" s="13"/>
      <c r="J8" s="14">
        <v>3200</v>
      </c>
      <c r="K8" s="14">
        <v>0</v>
      </c>
      <c r="L8" s="14">
        <f t="shared" si="0"/>
        <v>3200</v>
      </c>
      <c r="M8" s="15">
        <v>0.18</v>
      </c>
      <c r="N8" s="14">
        <f t="shared" si="1"/>
        <v>288</v>
      </c>
      <c r="O8" s="14">
        <f t="shared" si="2"/>
        <v>288</v>
      </c>
      <c r="P8" s="14" t="str">
        <f t="shared" si="3"/>
        <v/>
      </c>
      <c r="Q8" s="14">
        <f t="shared" si="4"/>
        <v>576</v>
      </c>
      <c r="R8" s="14">
        <f>SUM(L8,Q8)</f>
        <v>3776</v>
      </c>
    </row>
    <row r="9" spans="1:21" s="39" customFormat="1" x14ac:dyDescent="0.25">
      <c r="A9" s="34">
        <v>7</v>
      </c>
      <c r="B9" s="33">
        <v>45941</v>
      </c>
      <c r="C9" s="34">
        <v>117</v>
      </c>
      <c r="D9" s="12" t="s">
        <v>46</v>
      </c>
      <c r="E9" s="12" t="s">
        <v>35</v>
      </c>
      <c r="F9" s="13"/>
      <c r="G9" s="14"/>
      <c r="H9" s="13"/>
      <c r="I9" s="13"/>
      <c r="J9" s="14">
        <v>35950</v>
      </c>
      <c r="K9" s="14">
        <v>0</v>
      </c>
      <c r="L9" s="14">
        <f t="shared" si="0"/>
        <v>35950</v>
      </c>
      <c r="M9" s="15">
        <v>0.18</v>
      </c>
      <c r="N9" s="14">
        <f t="shared" si="1"/>
        <v>3235.5</v>
      </c>
      <c r="O9" s="14">
        <f t="shared" si="2"/>
        <v>3235.5</v>
      </c>
      <c r="P9" s="14" t="str">
        <f t="shared" si="3"/>
        <v/>
      </c>
      <c r="Q9" s="14">
        <f t="shared" si="4"/>
        <v>6471</v>
      </c>
      <c r="R9" s="14">
        <f>SUM(L9,Q9)</f>
        <v>42421</v>
      </c>
    </row>
    <row r="10" spans="1:21" s="39" customFormat="1" ht="30" x14ac:dyDescent="0.25">
      <c r="A10" s="34">
        <v>8</v>
      </c>
      <c r="B10" s="33">
        <v>45943</v>
      </c>
      <c r="C10" s="34">
        <v>118</v>
      </c>
      <c r="D10" s="12" t="s">
        <v>45</v>
      </c>
      <c r="E10" s="12" t="s">
        <v>35</v>
      </c>
      <c r="F10" s="13"/>
      <c r="G10" s="14"/>
      <c r="H10" s="13"/>
      <c r="I10" s="13"/>
      <c r="J10" s="14">
        <v>500</v>
      </c>
      <c r="K10" s="14">
        <v>0</v>
      </c>
      <c r="L10" s="14">
        <f t="shared" si="0"/>
        <v>500</v>
      </c>
      <c r="M10" s="15">
        <v>0.18</v>
      </c>
      <c r="N10" s="14">
        <f t="shared" ref="N10:N18" si="6">IF(ISNUMBER(SEARCH("State",E10)),(M10/2)*L10,"")</f>
        <v>45</v>
      </c>
      <c r="O10" s="14">
        <f t="shared" si="2"/>
        <v>45</v>
      </c>
      <c r="P10" s="14" t="str">
        <f t="shared" si="3"/>
        <v/>
      </c>
      <c r="Q10" s="14">
        <f t="shared" si="4"/>
        <v>90</v>
      </c>
      <c r="R10" s="14">
        <f t="shared" si="5"/>
        <v>590</v>
      </c>
    </row>
    <row r="11" spans="1:21" s="39" customFormat="1" ht="45" x14ac:dyDescent="0.25">
      <c r="A11" s="34">
        <v>9</v>
      </c>
      <c r="B11" s="33">
        <v>45943</v>
      </c>
      <c r="C11" s="34">
        <v>119</v>
      </c>
      <c r="D11" s="12" t="s">
        <v>61</v>
      </c>
      <c r="E11" s="12" t="s">
        <v>21</v>
      </c>
      <c r="F11" s="13" t="s">
        <v>62</v>
      </c>
      <c r="G11" s="14"/>
      <c r="H11" s="13"/>
      <c r="I11" s="13"/>
      <c r="J11" s="14">
        <v>2700</v>
      </c>
      <c r="K11" s="14">
        <v>0</v>
      </c>
      <c r="L11" s="14">
        <f t="shared" si="0"/>
        <v>2700</v>
      </c>
      <c r="M11" s="15">
        <v>0.18</v>
      </c>
      <c r="N11" s="14">
        <f t="shared" si="6"/>
        <v>243</v>
      </c>
      <c r="O11" s="14">
        <f t="shared" si="2"/>
        <v>243</v>
      </c>
      <c r="P11" s="14" t="str">
        <f t="shared" si="3"/>
        <v/>
      </c>
      <c r="Q11" s="14">
        <f t="shared" ref="Q11:Q16" si="7">ROUND(SUM(N11:P11),0)</f>
        <v>486</v>
      </c>
      <c r="R11" s="14">
        <f t="shared" si="5"/>
        <v>3186</v>
      </c>
    </row>
    <row r="12" spans="1:21" s="39" customFormat="1" x14ac:dyDescent="0.25">
      <c r="A12" s="44">
        <v>10</v>
      </c>
      <c r="B12" s="33">
        <v>45945</v>
      </c>
      <c r="C12" s="44">
        <v>120</v>
      </c>
      <c r="D12" s="12" t="s">
        <v>41</v>
      </c>
      <c r="E12" s="12" t="s">
        <v>35</v>
      </c>
      <c r="F12" s="13"/>
      <c r="G12" s="14"/>
      <c r="H12" s="13"/>
      <c r="I12" s="13"/>
      <c r="J12" s="14">
        <v>2900</v>
      </c>
      <c r="K12" s="14">
        <v>0</v>
      </c>
      <c r="L12" s="14">
        <f t="shared" si="0"/>
        <v>2900</v>
      </c>
      <c r="M12" s="15">
        <v>0.05</v>
      </c>
      <c r="N12" s="14">
        <f t="shared" si="6"/>
        <v>72.5</v>
      </c>
      <c r="O12" s="14">
        <f t="shared" si="2"/>
        <v>72.5</v>
      </c>
      <c r="P12" s="14" t="str">
        <f t="shared" si="3"/>
        <v/>
      </c>
      <c r="Q12" s="14">
        <f t="shared" si="7"/>
        <v>145</v>
      </c>
      <c r="R12" s="14">
        <f t="shared" si="5"/>
        <v>3045</v>
      </c>
    </row>
    <row r="13" spans="1:21" s="39" customFormat="1" ht="30" x14ac:dyDescent="0.25">
      <c r="A13" s="44">
        <v>11</v>
      </c>
      <c r="B13" s="33">
        <v>45947</v>
      </c>
      <c r="C13" s="44">
        <v>121</v>
      </c>
      <c r="D13" s="12" t="s">
        <v>66</v>
      </c>
      <c r="E13" s="12" t="s">
        <v>35</v>
      </c>
      <c r="F13" s="13"/>
      <c r="G13" s="14"/>
      <c r="H13" s="13"/>
      <c r="I13" s="13"/>
      <c r="J13" s="14">
        <v>12405</v>
      </c>
      <c r="K13" s="14">
        <v>0</v>
      </c>
      <c r="L13" s="14">
        <f t="shared" si="0"/>
        <v>12405</v>
      </c>
      <c r="M13" s="15">
        <v>0.18</v>
      </c>
      <c r="N13" s="14">
        <f t="shared" si="6"/>
        <v>1116.45</v>
      </c>
      <c r="O13" s="14">
        <f t="shared" si="2"/>
        <v>1116.45</v>
      </c>
      <c r="P13" s="14" t="str">
        <f t="shared" si="3"/>
        <v/>
      </c>
      <c r="Q13" s="14">
        <f t="shared" si="7"/>
        <v>2233</v>
      </c>
      <c r="R13" s="14">
        <f t="shared" si="5"/>
        <v>14638</v>
      </c>
    </row>
    <row r="14" spans="1:21" s="39" customFormat="1" ht="48.75" customHeight="1" x14ac:dyDescent="0.25">
      <c r="A14" s="44">
        <v>12</v>
      </c>
      <c r="B14" s="33">
        <v>45947</v>
      </c>
      <c r="C14" s="44">
        <v>122</v>
      </c>
      <c r="D14" s="12" t="s">
        <v>66</v>
      </c>
      <c r="E14" s="12" t="s">
        <v>35</v>
      </c>
      <c r="F14" s="13"/>
      <c r="G14" s="14"/>
      <c r="H14" s="13"/>
      <c r="I14" s="13"/>
      <c r="J14" s="14">
        <v>6240</v>
      </c>
      <c r="K14" s="14">
        <v>0</v>
      </c>
      <c r="L14" s="14">
        <f t="shared" si="0"/>
        <v>6240</v>
      </c>
      <c r="M14" s="15">
        <v>0.05</v>
      </c>
      <c r="N14" s="14">
        <f t="shared" si="6"/>
        <v>156</v>
      </c>
      <c r="O14" s="14">
        <f t="shared" si="2"/>
        <v>156</v>
      </c>
      <c r="P14" s="14" t="str">
        <f t="shared" si="3"/>
        <v/>
      </c>
      <c r="Q14" s="14">
        <f t="shared" si="7"/>
        <v>312</v>
      </c>
      <c r="R14" s="14">
        <f t="shared" si="5"/>
        <v>6552</v>
      </c>
    </row>
    <row r="15" spans="1:21" s="39" customFormat="1" ht="46.5" customHeight="1" x14ac:dyDescent="0.25">
      <c r="A15" s="44">
        <v>13</v>
      </c>
      <c r="B15" s="33">
        <v>45951</v>
      </c>
      <c r="C15" s="44">
        <v>123</v>
      </c>
      <c r="D15" s="12" t="s">
        <v>64</v>
      </c>
      <c r="E15" s="12" t="s">
        <v>35</v>
      </c>
      <c r="F15" s="13"/>
      <c r="G15" s="14"/>
      <c r="H15" s="13"/>
      <c r="I15" s="13"/>
      <c r="J15" s="14">
        <v>14970</v>
      </c>
      <c r="K15" s="14">
        <v>0</v>
      </c>
      <c r="L15" s="14">
        <f>IF(ISBLANK(G15)=FALSE,SUM(G15,K15),
IF(ISBLANK(H15)=FALSE,SUM(H15,K15),
IF(ISBLANK(I15)=FALSE,SUM(I15,K15),
IF(ISBLANK(J15)=FALSE,SUM(J15,K15),0))))</f>
        <v>14970</v>
      </c>
      <c r="M15" s="15">
        <v>0.18</v>
      </c>
      <c r="N15" s="14">
        <f t="shared" si="6"/>
        <v>1347.3</v>
      </c>
      <c r="O15" s="14">
        <f>IF(ISNUMBER(SEARCH("State",E15)),(M15/2)*L15,"")</f>
        <v>1347.3</v>
      </c>
      <c r="P15" s="14" t="str">
        <f>IF(ISNUMBER(SEARCH("Central",E15)),L15*M15,"")</f>
        <v/>
      </c>
      <c r="Q15" s="14">
        <f t="shared" si="7"/>
        <v>2695</v>
      </c>
      <c r="R15" s="14">
        <f>ROUND(SUM(L15,Q15),0)</f>
        <v>17665</v>
      </c>
    </row>
    <row r="16" spans="1:21" s="39" customFormat="1" x14ac:dyDescent="0.25">
      <c r="A16" s="44">
        <v>14</v>
      </c>
      <c r="B16" s="33">
        <v>45953</v>
      </c>
      <c r="C16" s="44">
        <v>124</v>
      </c>
      <c r="D16" s="5" t="s">
        <v>41</v>
      </c>
      <c r="E16" s="12" t="s">
        <v>35</v>
      </c>
      <c r="F16" s="13"/>
      <c r="G16" s="14"/>
      <c r="H16" s="13"/>
      <c r="I16" s="13"/>
      <c r="J16" s="14">
        <v>7500</v>
      </c>
      <c r="K16" s="14">
        <v>0</v>
      </c>
      <c r="L16" s="14">
        <f>IF(ISBLANK(G16)=FALSE,SUM(G16,K16),
IF(ISBLANK(H16)=FALSE,SUM(H16,K16),
IF(ISBLANK(I16)=FALSE,SUM(I16,K16),
IF(ISBLANK(J16)=FALSE,SUM(J16,K16),0))))</f>
        <v>7500</v>
      </c>
      <c r="M16" s="15">
        <v>0.18</v>
      </c>
      <c r="N16" s="14">
        <f t="shared" si="6"/>
        <v>675</v>
      </c>
      <c r="O16" s="14">
        <f>IF(ISNUMBER(SEARCH("State",E16)),(M16/2)*L16,"")</f>
        <v>675</v>
      </c>
      <c r="P16" s="14" t="str">
        <f>IF(ISNUMBER(SEARCH("Central",E16)),L16*M16,"")</f>
        <v/>
      </c>
      <c r="Q16" s="14">
        <f t="shared" si="7"/>
        <v>1350</v>
      </c>
      <c r="R16" s="14">
        <f>ROUND(SUM(L16,Q16),0)</f>
        <v>8850</v>
      </c>
    </row>
    <row r="17" spans="1:18" s="39" customFormat="1" ht="30" x14ac:dyDescent="0.25">
      <c r="A17" s="44">
        <v>15</v>
      </c>
      <c r="B17" s="33">
        <v>45961</v>
      </c>
      <c r="C17" s="44">
        <v>125</v>
      </c>
      <c r="D17" s="12" t="s">
        <v>66</v>
      </c>
      <c r="E17" s="12" t="s">
        <v>35</v>
      </c>
      <c r="F17" s="13"/>
      <c r="G17" s="14"/>
      <c r="H17" s="13"/>
      <c r="I17" s="13"/>
      <c r="J17" s="14">
        <v>2650</v>
      </c>
      <c r="K17" s="14">
        <v>0</v>
      </c>
      <c r="L17" s="14">
        <f t="shared" ref="L17:L18" si="8">IF(ISBLANK(G17)=FALSE,SUM(G17,K17),
IF(ISBLANK(H17)=FALSE,SUM(H17,K17),
IF(ISBLANK(I17)=FALSE,SUM(I17,K17),
IF(ISBLANK(J17)=FALSE,SUM(J17,K17),0))))</f>
        <v>2650</v>
      </c>
      <c r="M17" s="15">
        <v>0.18</v>
      </c>
      <c r="N17" s="14">
        <f t="shared" si="6"/>
        <v>238.5</v>
      </c>
      <c r="O17" s="14">
        <f t="shared" ref="O17:O18" si="9">IF(ISNUMBER(SEARCH("State",E17)),(M17/2)*L17,"")</f>
        <v>238.5</v>
      </c>
      <c r="P17" s="14" t="str">
        <f t="shared" ref="P17:P18" si="10">IF(ISNUMBER(SEARCH("Central",E17)),L17*M17,"")</f>
        <v/>
      </c>
      <c r="Q17" s="14">
        <f t="shared" ref="Q17:Q18" si="11">ROUND(SUM(N17:P17),0)</f>
        <v>477</v>
      </c>
      <c r="R17" s="14">
        <f t="shared" ref="R17:R18" si="12">ROUND(SUM(L17,Q17),0)</f>
        <v>3127</v>
      </c>
    </row>
    <row r="18" spans="1:18" s="39" customFormat="1" ht="30" x14ac:dyDescent="0.25">
      <c r="A18" s="44">
        <v>16</v>
      </c>
      <c r="B18" s="33">
        <v>45961</v>
      </c>
      <c r="C18" s="44">
        <v>126</v>
      </c>
      <c r="D18" s="12" t="s">
        <v>65</v>
      </c>
      <c r="E18" s="12" t="s">
        <v>35</v>
      </c>
      <c r="F18" s="13"/>
      <c r="G18" s="14"/>
      <c r="H18" s="13"/>
      <c r="I18" s="13"/>
      <c r="J18" s="14">
        <v>6260</v>
      </c>
      <c r="K18" s="14">
        <v>0</v>
      </c>
      <c r="L18" s="14">
        <f t="shared" si="8"/>
        <v>6260</v>
      </c>
      <c r="M18" s="15">
        <v>0.05</v>
      </c>
      <c r="N18" s="14">
        <f t="shared" si="6"/>
        <v>156.5</v>
      </c>
      <c r="O18" s="14">
        <f t="shared" si="9"/>
        <v>156.5</v>
      </c>
      <c r="P18" s="14" t="str">
        <f t="shared" si="10"/>
        <v/>
      </c>
      <c r="Q18" s="14">
        <f t="shared" si="11"/>
        <v>313</v>
      </c>
      <c r="R18" s="14">
        <f t="shared" si="12"/>
        <v>6573</v>
      </c>
    </row>
    <row r="19" spans="1:18" s="39" customFormat="1" ht="18.75" x14ac:dyDescent="0.25">
      <c r="A19" s="13"/>
      <c r="B19" s="13"/>
      <c r="C19" s="13"/>
      <c r="D19" s="16" t="s">
        <v>18</v>
      </c>
      <c r="E19" s="34"/>
      <c r="F19" s="17"/>
      <c r="G19" s="18" t="str">
        <f>IF(SUM(G5:G13)=0,"",SUM(G5:G13))</f>
        <v/>
      </c>
      <c r="H19" s="18" t="str">
        <f>IF(SUM(H5:H13)=0,"",SUM(H5:H13))</f>
        <v/>
      </c>
      <c r="I19" s="22" t="str">
        <f>IF(SUM(I5:I13)=0,"",SUM(I5:I13))</f>
        <v/>
      </c>
      <c r="J19" s="18">
        <f>IF(SUM(J3:J18)=0,"",SUM(J3:J18))</f>
        <v>132525</v>
      </c>
      <c r="K19" s="18" t="str">
        <f>IF(SUM(K3:K18)=0,"",SUM(K3:K18))</f>
        <v/>
      </c>
      <c r="L19" s="18">
        <f>IF(SUM(L3:L18)=0,"",SUM(L3:L18))</f>
        <v>132525</v>
      </c>
      <c r="M19" s="19"/>
      <c r="N19" s="18">
        <f>IF(SUM(N3:N18)=0,"",SUM(N3:N18))</f>
        <v>9002.25</v>
      </c>
      <c r="O19" s="18">
        <f>IF(SUM(O3:O18)=0,"",SUM(O3:O18))</f>
        <v>9002.25</v>
      </c>
      <c r="P19" s="18" t="str">
        <f>IF(SUM(P3:P18)=0,"",SUM(P3:P18))</f>
        <v/>
      </c>
      <c r="Q19" s="18">
        <f>IF(SUM(Q3:Q18)=0,"",SUM(Q3:Q18))</f>
        <v>18005</v>
      </c>
      <c r="R19" s="18">
        <f>IF(SUM(R3:R18)=0,"",SUM(R3:R18))</f>
        <v>150530</v>
      </c>
    </row>
    <row r="20" spans="1:18" s="39" customFormat="1" ht="18.75" x14ac:dyDescent="0.25">
      <c r="D20" s="26"/>
      <c r="E20" s="36"/>
      <c r="F20" s="27"/>
      <c r="G20" s="28"/>
      <c r="H20" s="28"/>
      <c r="I20" s="28"/>
      <c r="J20" s="28"/>
      <c r="K20" s="28"/>
      <c r="L20" s="28"/>
      <c r="M20" s="29"/>
      <c r="N20" s="25"/>
      <c r="O20" s="25"/>
      <c r="P20" s="25"/>
      <c r="Q20" s="25"/>
      <c r="R20" s="25"/>
    </row>
    <row r="21" spans="1:18" s="39" customFormat="1" ht="21" x14ac:dyDescent="0.25">
      <c r="D21" s="64" t="s">
        <v>34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6"/>
    </row>
    <row r="22" spans="1:18" s="39" customFormat="1" ht="45" x14ac:dyDescent="0.25">
      <c r="C22" s="38"/>
      <c r="D22" s="57" t="s">
        <v>19</v>
      </c>
      <c r="E22" s="34" t="s">
        <v>31</v>
      </c>
      <c r="F22" s="34" t="s">
        <v>30</v>
      </c>
      <c r="G22" s="34" t="s">
        <v>29</v>
      </c>
      <c r="H22" s="37"/>
      <c r="I22" s="38"/>
      <c r="J22" s="38"/>
      <c r="K22" s="38"/>
      <c r="L22" s="63" t="s">
        <v>21</v>
      </c>
      <c r="M22" s="34" t="s">
        <v>31</v>
      </c>
      <c r="N22" s="34" t="s">
        <v>30</v>
      </c>
      <c r="O22" s="35" t="s">
        <v>7</v>
      </c>
      <c r="P22" s="35" t="s">
        <v>8</v>
      </c>
      <c r="Q22" s="34" t="s">
        <v>29</v>
      </c>
      <c r="R22" s="23"/>
    </row>
    <row r="23" spans="1:18" s="39" customFormat="1" x14ac:dyDescent="0.25">
      <c r="D23" s="57"/>
      <c r="E23" s="8">
        <v>0.05</v>
      </c>
      <c r="F23" s="7">
        <f>SUMIFS(L3:L18,E3:E18,"=RD Central",M3:M18,"=5%")</f>
        <v>0</v>
      </c>
      <c r="G23" s="7">
        <f>SUMIFS(Q3:Q18,E3:E18,"=RD Central",M3:M18,"=5%")</f>
        <v>0</v>
      </c>
      <c r="H23" s="7" t="s">
        <v>9</v>
      </c>
      <c r="L23" s="63"/>
      <c r="M23" s="8">
        <v>0.05</v>
      </c>
      <c r="N23" s="7">
        <f>SUMIFS(L3:L18,E3:E18,"=RD State",M3:M18,"=5%")</f>
        <v>0</v>
      </c>
      <c r="O23" s="7">
        <f>SUMIFS(N3:N18,E3:E18,"=RD State",M3:M18,"=5%")</f>
        <v>0</v>
      </c>
      <c r="P23" s="7">
        <f>SUMIFS(O3:O18,E3:E18,"=RD State",M3:M18,"=5%")</f>
        <v>0</v>
      </c>
      <c r="Q23" s="7">
        <f>SUMIFS(Q3:Q18,E3:E18,"=RD State",M3:M18,"=5%")</f>
        <v>0</v>
      </c>
    </row>
    <row r="24" spans="1:18" s="39" customFormat="1" x14ac:dyDescent="0.25">
      <c r="D24" s="57"/>
      <c r="E24" s="8">
        <v>0.18</v>
      </c>
      <c r="F24" s="7">
        <f>SUMIFS(L3:L18,E3:E18,"=RD Central",M3:M18,"=18%")</f>
        <v>0</v>
      </c>
      <c r="G24" s="7">
        <f>SUMIFS(Q3:Q18,E3:E18,"=RD Central",M3:M18,"=18%")</f>
        <v>0</v>
      </c>
      <c r="H24" s="7" t="s">
        <v>9</v>
      </c>
      <c r="L24" s="63"/>
      <c r="M24" s="8">
        <v>0.18</v>
      </c>
      <c r="N24" s="7">
        <f>SUMIFS(L3:L18,E3:E18,"=RD State",M3:M18,"=18%")</f>
        <v>2700</v>
      </c>
      <c r="O24" s="7">
        <f>SUMIFS(N3:N18,E3:E18,"=RD State",M3:M18,"=18%")</f>
        <v>243</v>
      </c>
      <c r="P24" s="7">
        <f>SUMIFS(O3:O18,E3:E18,"=RD State",M3:M18,"=18%")</f>
        <v>243</v>
      </c>
      <c r="Q24" s="7">
        <f>SUMIFS(Q3:Q18,E3:E18,"=RD State",M3:M18,"=18%")</f>
        <v>486</v>
      </c>
    </row>
    <row r="25" spans="1:18" s="39" customFormat="1" x14ac:dyDescent="0.25">
      <c r="D25" s="67"/>
      <c r="E25" s="68"/>
      <c r="F25" s="68"/>
      <c r="G25" s="68"/>
      <c r="H25" s="68"/>
      <c r="I25" s="69"/>
      <c r="J25" s="69"/>
      <c r="K25" s="69"/>
      <c r="L25" s="68"/>
      <c r="M25" s="68"/>
      <c r="N25" s="68"/>
      <c r="O25" s="68"/>
      <c r="P25" s="71"/>
      <c r="Q25" s="23"/>
      <c r="R25" s="23"/>
    </row>
    <row r="26" spans="1:18" s="39" customFormat="1" x14ac:dyDescent="0.25">
      <c r="D26" s="57" t="s">
        <v>33</v>
      </c>
      <c r="E26" s="8">
        <v>0.05</v>
      </c>
      <c r="F26" s="7">
        <f>SUMIFS(L3:L18,E3:E18,"=URD Central",M3:M18,"=5%")</f>
        <v>0</v>
      </c>
      <c r="G26" s="7">
        <f>SUMIFS(Q3:Q18,E3:E18,"=URD Central",M3:M18,"=5%")</f>
        <v>0</v>
      </c>
      <c r="H26" s="7" t="s">
        <v>9</v>
      </c>
      <c r="I26" s="69"/>
      <c r="J26" s="69"/>
      <c r="K26" s="69"/>
      <c r="L26" s="63" t="s">
        <v>35</v>
      </c>
      <c r="M26" s="8">
        <v>0.05</v>
      </c>
      <c r="N26" s="7">
        <f>SUMIFS(L3:L18,E3:E18,"=URD State",M3:M18,"=5%")</f>
        <v>45000</v>
      </c>
      <c r="O26" s="7">
        <f>SUMIFS(N3:N18,E3:E18,"=URD State",M3:M18,"=5%")</f>
        <v>1125</v>
      </c>
      <c r="P26" s="7">
        <f>SUMIFS(O3:O18,E3:E18,"=URD State",M3:M18,"=5%")</f>
        <v>1125</v>
      </c>
      <c r="Q26" s="7">
        <f>SUMIFS(Q3:Q18,E3:E18,"=URD State",M3:M18,"=5%")</f>
        <v>2250</v>
      </c>
    </row>
    <row r="27" spans="1:18" s="39" customFormat="1" x14ac:dyDescent="0.25">
      <c r="D27" s="57"/>
      <c r="E27" s="8">
        <v>0.18</v>
      </c>
      <c r="F27" s="7">
        <f>SUMIFS(L3:L18,E3:E18,"=URD Central",M3:M18,"=18%")</f>
        <v>0</v>
      </c>
      <c r="G27" s="7">
        <f>SUMIFS(Q3:Q18,E3:E18,"=URD Central",M3:M18,"=18%")</f>
        <v>0</v>
      </c>
      <c r="H27" s="7" t="s">
        <v>9</v>
      </c>
      <c r="I27" s="70"/>
      <c r="J27" s="70"/>
      <c r="K27" s="70"/>
      <c r="L27" s="63"/>
      <c r="M27" s="8">
        <v>0.18</v>
      </c>
      <c r="N27" s="7">
        <f>SUMIFS(L3:L18,E3:E18,"=URD State",M3:M18,"=18%")</f>
        <v>84825</v>
      </c>
      <c r="O27" s="7">
        <f>SUMIFS(N3:N18,E3:E18,"=URD State",M3:M18,"=18%")</f>
        <v>7634.25</v>
      </c>
      <c r="P27" s="7">
        <f>SUMIFS(O3:O18,E3:E18,"=URD State",M3:M18,"=18%")</f>
        <v>7634.25</v>
      </c>
      <c r="Q27" s="7">
        <f>SUMIFS(Q3:Q18,E3:E18,"=URD State",M3:M18,"=18%")</f>
        <v>15269</v>
      </c>
    </row>
    <row r="28" spans="1:18" s="39" customFormat="1" x14ac:dyDescent="0.25">
      <c r="E28" s="31"/>
    </row>
    <row r="29" spans="1:18" s="39" customFormat="1" x14ac:dyDescent="0.25">
      <c r="E29" s="31"/>
    </row>
    <row r="30" spans="1:18" s="39" customFormat="1" x14ac:dyDescent="0.25">
      <c r="E30" s="31"/>
    </row>
    <row r="31" spans="1:18" s="39" customFormat="1" x14ac:dyDescent="0.25">
      <c r="E31" s="31"/>
    </row>
    <row r="32" spans="1:18" s="39" customFormat="1" x14ac:dyDescent="0.25">
      <c r="E32" s="31"/>
    </row>
    <row r="33" spans="5:5" s="39" customFormat="1" x14ac:dyDescent="0.25">
      <c r="E33" s="31"/>
    </row>
    <row r="34" spans="5:5" s="39" customFormat="1" x14ac:dyDescent="0.25">
      <c r="E34" s="31"/>
    </row>
    <row r="35" spans="5:5" s="39" customFormat="1" x14ac:dyDescent="0.25">
      <c r="E35" s="31"/>
    </row>
    <row r="36" spans="5:5" s="39" customFormat="1" x14ac:dyDescent="0.25">
      <c r="E36" s="31"/>
    </row>
    <row r="37" spans="5:5" s="39" customFormat="1" x14ac:dyDescent="0.25">
      <c r="E37" s="31"/>
    </row>
    <row r="38" spans="5:5" s="39" customFormat="1" x14ac:dyDescent="0.25">
      <c r="E38" s="31"/>
    </row>
    <row r="39" spans="5:5" s="39" customFormat="1" x14ac:dyDescent="0.25">
      <c r="E39" s="31"/>
    </row>
    <row r="40" spans="5:5" s="39" customFormat="1" x14ac:dyDescent="0.25">
      <c r="E40" s="31"/>
    </row>
    <row r="41" spans="5:5" s="39" customFormat="1" x14ac:dyDescent="0.25">
      <c r="E41" s="31"/>
    </row>
    <row r="42" spans="5:5" s="39" customFormat="1" x14ac:dyDescent="0.25">
      <c r="E42" s="31"/>
    </row>
    <row r="43" spans="5:5" s="39" customFormat="1" x14ac:dyDescent="0.25">
      <c r="E43" s="31"/>
    </row>
    <row r="44" spans="5:5" s="39" customFormat="1" x14ac:dyDescent="0.25">
      <c r="E44" s="31"/>
    </row>
  </sheetData>
  <mergeCells count="9">
    <mergeCell ref="A1:R1"/>
    <mergeCell ref="D21:P21"/>
    <mergeCell ref="D22:D24"/>
    <mergeCell ref="L22:L24"/>
    <mergeCell ref="D25:H25"/>
    <mergeCell ref="I25:K27"/>
    <mergeCell ref="L25:P25"/>
    <mergeCell ref="D26:D27"/>
    <mergeCell ref="L26:L27"/>
  </mergeCells>
  <pageMargins left="0.7" right="0.7" top="0.75" bottom="0.75" header="0.3" footer="0.3"/>
  <pageSetup paperSize="5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Ocober 2025 Purchase</vt:lpstr>
      <vt:lpstr>OCTOBER 2025 Sale</vt:lpstr>
    </vt:vector>
  </TitlesOfParts>
  <Company>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Windows</cp:lastModifiedBy>
  <cp:lastPrinted>2024-10-24T05:26:12Z</cp:lastPrinted>
  <dcterms:created xsi:type="dcterms:W3CDTF">2020-04-22T09:55:11Z</dcterms:created>
  <dcterms:modified xsi:type="dcterms:W3CDTF">2026-02-07T22:51:12Z</dcterms:modified>
</cp:coreProperties>
</file>